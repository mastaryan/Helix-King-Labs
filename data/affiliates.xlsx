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Roster" sheetId="2" state="visible" r:id="rId4"/>
    <sheet name="This week" sheetId="3" state="visible" r:id="rId5"/>
    <sheet name="Quote sheet" sheetId="4" state="visible" r:id="rId6"/>
  </sheets>
  <definedNames>
    <definedName function="false" hidden="true" localSheetId="1" name="_xlnm._FilterDatabase" vbProcedure="false">Roster!$A$4:$N$54</definedName>
    <definedName function="false" hidden="false" localSheetId="0" name="_xlnm.Print_Titles" vbProcedure="false">Rules!$1:$2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<sst xmlns="http://schemas.openxmlformats.org/spreadsheetml/2006/main" count="173" uniqueCount="129">
  <si>
    <t xml:space="preserve">Helix King Labs — Affiliate mapping</t>
  </si>
  <si>
    <t xml:space="preserve">Internal. Program is not live. Settlement v1 is cash only. Last updated 28 Sep 2026.</t>
  </si>
  <si>
    <t xml:space="preserve">Order</t>
  </si>
  <si>
    <t xml:space="preserve">1. Customers you can reach today (email list).</t>
  </si>
  <si>
    <t xml:space="preserve">2. Affiliates who already sell this catalog class.</t>
  </si>
  <si>
    <t xml:space="preserve">3. Ads on top of that base.</t>
  </si>
  <si>
    <t xml:space="preserve">Operator call note (not a Helix result): 78 sales from people he already knew. 10 already had a code.</t>
  </si>
  <si>
    <t xml:space="preserve">Inputs — change the yellow cells</t>
  </si>
  <si>
    <t xml:space="preserve">Default commission rate</t>
  </si>
  <si>
    <t xml:space="preserve">Assumption only. Set before first partner call.</t>
  </si>
  <si>
    <t xml:space="preserve">Cookie window (days)</t>
  </si>
  <si>
    <t xml:space="preserve">Not live. Record the planned window so codes are not issued two ways.</t>
  </si>
  <si>
    <t xml:space="preserve">Payout floor (USD)</t>
  </si>
  <si>
    <t xml:space="preserve">Do not pay under this until a real payout batch exists.</t>
  </si>
  <si>
    <t xml:space="preserve">Code prefix</t>
  </si>
  <si>
    <t xml:space="preserve">HK</t>
  </si>
  <si>
    <t xml:space="preserve">Codes read PREFIX-SLUG. Example HK-RYAN.</t>
  </si>
  <si>
    <t xml:space="preserve">Self-purchase allowed</t>
  </si>
  <si>
    <t xml:space="preserve">No</t>
  </si>
  <si>
    <t xml:space="preserve">House rule. Change before launch if you allow it.</t>
  </si>
  <si>
    <t xml:space="preserve">Wolverine offer — what partners quote</t>
  </si>
  <si>
    <t xml:space="preserve">Public name</t>
  </si>
  <si>
    <t xml:space="preserve">Wolverine</t>
  </si>
  <si>
    <t xml:space="preserve">Ops SKU</t>
  </si>
  <si>
    <t xml:space="preserve">BB20</t>
  </si>
  <si>
    <t xml:space="preserve">Fill</t>
  </si>
  <si>
    <t xml:space="preserve">BPC-157 10 mg + TB-500 10 mg</t>
  </si>
  <si>
    <t xml:space="preserve">Ratio</t>
  </si>
  <si>
    <t xml:space="preserve">1:1</t>
  </si>
  <si>
    <t xml:space="preserve">Total peptide</t>
  </si>
  <si>
    <t xml:space="preserve">20 mg</t>
  </si>
  <si>
    <t xml:space="preserve">Not offered on this SKU</t>
  </si>
  <si>
    <t xml:space="preserve">5 mg + 5 mg · 20 mg + 20 mg</t>
  </si>
  <si>
    <t xml:space="preserve">List price (catalog)</t>
  </si>
  <si>
    <t xml:space="preserve">Signed-in price. No public price guide.</t>
  </si>
  <si>
    <t xml:space="preserve">Commission per vial at default rate</t>
  </si>
  <si>
    <t xml:space="preserve">Settlement — v1 (use this)</t>
  </si>
  <si>
    <t xml:space="preserve">Payout mode</t>
  </si>
  <si>
    <t xml:space="preserve">Cash only. Request at $50+. Sweep 31 Dec.</t>
  </si>
  <si>
    <t xml:space="preserve">No credit. No multiplier. No micro-payouts.</t>
  </si>
  <si>
    <t xml:space="preserve">Year-end sweep</t>
  </si>
  <si>
    <t xml:space="preserve">Calendar year (31 Dec)</t>
  </si>
  <si>
    <t xml:space="preserve">Pick calendar or fiscal and do not change it mid-year. Calendar is simpler for 1099-NEC.</t>
  </si>
  <si>
    <t xml:space="preserve">Minimum cash-out</t>
  </si>
  <si>
    <t xml:space="preserve">Same floor as B13. Below the floor it sits until year-end.</t>
  </si>
  <si>
    <t xml:space="preserve">Store credit in v1</t>
  </si>
  <si>
    <t xml:space="preserve">Off — never</t>
  </si>
  <si>
    <t xml:space="preserve">Store credit is not a settlement option.</t>
  </si>
  <si>
    <t xml:space="preserve">Credit bonus (parked)</t>
  </si>
  <si>
    <t xml:space="preserve">Parked at 0. Do not use.</t>
  </si>
  <si>
    <t xml:space="preserve">Worked example — Wolverine BB20</t>
  </si>
  <si>
    <t xml:space="preserve">Sale price</t>
  </si>
  <si>
    <t xml:space="preserve">Signed-in catalog price</t>
  </si>
  <si>
    <t xml:space="preserve">Cash commission (v1)</t>
  </si>
  <si>
    <t xml:space="preserve">10% of $70 = $7 per vial</t>
  </si>
  <si>
    <t xml:space="preserve">If they refer 3 vials</t>
  </si>
  <si>
    <t xml:space="preserve">$21 cash. Below the $50 floor — sits until they request above floor or year-end.</t>
  </si>
  <si>
    <t xml:space="preserve">Parked credit on that $21</t>
  </si>
  <si>
    <t xml:space="preserve">$21 × 1.5 = $31.50. Your $20 → $30 example is the same math.</t>
  </si>
  <si>
    <t xml:space="preserve">Effective rate if credit is on</t>
  </si>
  <si>
    <t xml:space="preserve">15% of sale. That is a different program, not a perk on the same 10%.</t>
  </si>
  <si>
    <t xml:space="preserve">v1 rule: 10% cash. Pay on request at $50 or more. Sweep leftover on 31 Dec. No store credit. No micro-payouts.</t>
  </si>
  <si>
    <t xml:space="preserve">Do not issue a code until the row exists on Roster.</t>
  </si>
  <si>
    <t xml:space="preserve">Affiliate roster</t>
  </si>
  <si>
    <t xml:space="preserve">Yellow = you type. Black = calculated. Status list is locked to the dropdown.</t>
  </si>
  <si>
    <t xml:space="preserve">Code</t>
  </si>
  <si>
    <t xml:space="preserve">Name</t>
  </si>
  <si>
    <t xml:space="preserve">Handle / channel</t>
  </si>
  <si>
    <t xml:space="preserve">Audience</t>
  </si>
  <si>
    <t xml:space="preserve">Already had a code elsewhere?</t>
  </si>
  <si>
    <t xml:space="preserve">Status</t>
  </si>
  <si>
    <t xml:space="preserve">Date added</t>
  </si>
  <si>
    <t xml:space="preserve">Commission override</t>
  </si>
  <si>
    <t xml:space="preserve">Orders</t>
  </si>
  <si>
    <t xml:space="preserve">Gross sales (USD)</t>
  </si>
  <si>
    <t xml:space="preserve">Commission due</t>
  </si>
  <si>
    <t xml:space="preserve">Paid</t>
  </si>
  <si>
    <t xml:space="preserve">Balance</t>
  </si>
  <si>
    <t xml:space="preserve">Notes</t>
  </si>
  <si>
    <t xml:space="preserve">Helix King Labs (house)</t>
  </si>
  <si>
    <t xml:space="preserve">Owned email list</t>
  </si>
  <si>
    <t xml:space="preserve">Customers you can reach today</t>
  </si>
  <si>
    <t xml:space="preserve">house</t>
  </si>
  <si>
    <t xml:space="preserve">2026-09-28</t>
  </si>
  <si>
    <t xml:space="preserve">House row. Not an affiliate. Do not pay.</t>
  </si>
  <si>
    <t xml:space="preserve">prospect</t>
  </si>
  <si>
    <t xml:space="preserve">Totals</t>
  </si>
  <si>
    <t xml:space="preserve">Count with a name</t>
  </si>
  <si>
    <t xml:space="preserve">Active</t>
  </si>
  <si>
    <t xml:space="preserve">Already had a code elsewhere</t>
  </si>
  <si>
    <t xml:space="preserve">Payable now (balance ≥ floor)</t>
  </si>
  <si>
    <t xml:space="preserve">This week — names you can reach</t>
  </si>
  <si>
    <t xml:space="preserve">Write the first ten people before you design a landing page. Codes generate on Roster when you type a name.</t>
  </si>
  <si>
    <t xml:space="preserve">#</t>
  </si>
  <si>
    <t xml:space="preserve">How you know them</t>
  </si>
  <si>
    <t xml:space="preserve">What they already sell</t>
  </si>
  <si>
    <t xml:space="preserve">Ask this week</t>
  </si>
  <si>
    <t xml:space="preserve">Done</t>
  </si>
  <si>
    <t xml:space="preserve">Asked this week</t>
  </si>
  <si>
    <t xml:space="preserve">Still open</t>
  </si>
  <si>
    <t xml:space="preserve">What an affiliate is allowed to say</t>
  </si>
  <si>
    <t xml:space="preserve">No protocols. No outcome claims. Name, fill, form, lot. Research use on documented compounds.</t>
  </si>
  <si>
    <t xml:space="preserve">SKU</t>
  </si>
  <si>
    <t xml:space="preserve">Fill / form</t>
  </si>
  <si>
    <t xml:space="preserve">Line they can send</t>
  </si>
  <si>
    <t xml:space="preserve">BPC-157 10 mg + TB-500 10 mg · lyophilized vial · 1:1 · 20 mg total</t>
  </si>
  <si>
    <t xml:space="preserve">Wolverine. BPC-157 10 mg + TB-500 10 mg in one vial. Research use only.</t>
  </si>
  <si>
    <t xml:space="preserve">PGL-GIC1</t>
  </si>
  <si>
    <t xml:space="preserve">RT10 / RT20 / RT30</t>
  </si>
  <si>
    <t xml:space="preserve">10 / 20 / 30 mg · lyophilized vial</t>
  </si>
  <si>
    <t xml:space="preserve">PGL-GIC1. Strength on the card. Research use only.</t>
  </si>
  <si>
    <t xml:space="preserve">PGL-GI1</t>
  </si>
  <si>
    <t xml:space="preserve">TR10 / TR20 / TR30</t>
  </si>
  <si>
    <t xml:space="preserve">PGL-GI1. Strength on the card. Research use only.</t>
  </si>
  <si>
    <t xml:space="preserve">Tesamorelin</t>
  </si>
  <si>
    <t xml:space="preserve">TSM10 / TSM20</t>
  </si>
  <si>
    <t xml:space="preserve">10 / 20 mg · lyophilized vial</t>
  </si>
  <si>
    <t xml:space="preserve">Tesamorelin. Strength on the card. Research use only.</t>
  </si>
  <si>
    <t xml:space="preserve">Selank</t>
  </si>
  <si>
    <t xml:space="preserve">SEL10</t>
  </si>
  <si>
    <t xml:space="preserve">10 mg / 10 mL nasal spray</t>
  </si>
  <si>
    <t xml:space="preserve">Selank nasal spray. 10 mg / 10 mL. Research use only.</t>
  </si>
  <si>
    <t xml:space="preserve">Semax</t>
  </si>
  <si>
    <t xml:space="preserve">SMX10</t>
  </si>
  <si>
    <t xml:space="preserve">Semax nasal spray. 10 mg / 10 mL. Research use only.</t>
  </si>
  <si>
    <t xml:space="preserve">T2.5 Bio-Tallow</t>
  </si>
  <si>
    <t xml:space="preserve">T25</t>
  </si>
  <si>
    <t xml:space="preserve">60 mL cosmetic jar</t>
  </si>
  <si>
    <t xml:space="preserve">T2.5 GHK-infused bio-tallow. Cosmetic lot.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</si>
</sst>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"/>
    <numFmt numFmtId="167" formatCode="\$#,##0.00"/>
    <numFmt numFmtId="168" formatCode="0%"/>
    <numFmt numFmtId="169" formatCode="0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111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3"/>
      <color rgb="FF111111"/>
      <name val="Calibri"/>
      <family val="0"/>
      <charset val="1"/>
    </font>
    <font>
      <sz val="11"/>
      <color rgb="FF1111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11111"/>
      <name val="Calibri"/>
      <family val="0"/>
      <charset val="1"/>
    </font>
    <font>
      <b val="true"/>
      <sz val="11"/>
      <color rgb="FFF4F1EA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3B0"/>
        <bgColor rgb="FFF4F1EA"/>
      </patternFill>
    </fill>
    <fill>
      <patternFill patternType="solid">
        <fgColor rgb="FF111111"/>
        <bgColor rgb="FF000000"/>
      </patternFill>
    </fill>
    <fill>
      <patternFill patternType="solid">
        <fgColor rgb="FFECEAE4"/>
        <bgColor rgb="FFF4F1EA"/>
      </patternFill>
    </fill>
    <fill>
      <patternFill patternType="solid">
        <fgColor rgb="FFFFFFFF"/>
        <bgColor rgb="FFF4F1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BC2"/>
      </left>
      <right style="thin">
        <color rgb="FFD0CBC2"/>
      </right>
      <top style="thin">
        <color rgb="FFD0CBC2"/>
      </top>
      <bottom style="thin">
        <color rgb="FFD0CB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11111"/>
          <bgColor rgb="FF000000"/>
        </patternFill>
      </fill>
    </dxf>
    <dxf>
      <fill>
        <patternFill patternType="solid">
          <fgColor rgb="FFECEA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4F1EA"/>
      <rgbColor rgb="FFCCFFFF"/>
      <rgbColor rgb="FF660066"/>
      <rgbColor rgb="FFFF8080"/>
      <rgbColor rgb="FF0066CC"/>
      <rgbColor rgb="FFD0CBC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AE4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D99AE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tru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8"/>
    <col collapsed="false" customWidth="true" hidden="false" outlineLevel="0" max="3" min="3" style="1" width="6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.75" hidden="false" customHeight="true" outlineLevel="0" collapsed="false">
      <c r="A4" s="4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  <row r="8" customFormat="false" ht="15" hidden="false" customHeight="true" outlineLevel="0" collapsed="false">
      <c r="A8" s="3" t="s">
        <v>6</v>
      </c>
      <c r="B8" s="3"/>
      <c r="C8" s="3"/>
      <c r="D8" s="3"/>
      <c r="E8" s="3"/>
      <c r="F8" s="3"/>
    </row>
    <row r="10" customFormat="false" ht="15.7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0.1</v>
      </c>
      <c r="C11" s="7" t="s">
        <v>9</v>
      </c>
    </row>
    <row r="12" customFormat="false" ht="15" hidden="false" customHeight="true" outlineLevel="0" collapsed="false">
      <c r="A12" s="5" t="s">
        <v>10</v>
      </c>
      <c r="B12" s="8" t="n">
        <v>30</v>
      </c>
      <c r="C12" s="7" t="s">
        <v>11</v>
      </c>
    </row>
    <row r="13" customFormat="false" ht="15" hidden="false" customHeight="true" outlineLevel="0" collapsed="false">
      <c r="A13" s="5" t="s">
        <v>12</v>
      </c>
      <c r="B13" s="9" t="n">
        <v>50</v>
      </c>
      <c r="C13" s="7" t="s">
        <v>13</v>
      </c>
    </row>
    <row r="14" customFormat="false" ht="15" hidden="false" customHeight="true" outlineLevel="0" collapsed="false">
      <c r="A14" s="5" t="s">
        <v>14</v>
      </c>
      <c r="B14" s="8" t="s">
        <v>15</v>
      </c>
      <c r="C14" s="7" t="s">
        <v>16</v>
      </c>
    </row>
    <row r="15" customFormat="false" ht="15" hidden="false" customHeight="true" outlineLevel="0" collapsed="false">
      <c r="A15" s="5" t="s">
        <v>17</v>
      </c>
      <c r="B15" s="8" t="s">
        <v>18</v>
      </c>
      <c r="C15" s="7" t="s">
        <v>19</v>
      </c>
    </row>
    <row r="17" customFormat="false" ht="15.75" hidden="false" customHeight="true" outlineLevel="0" collapsed="false">
      <c r="A17" s="4" t="s">
        <v>20</v>
      </c>
    </row>
    <row r="18" customFormat="false" ht="15" hidden="false" customHeight="true" outlineLevel="0" collapsed="false">
      <c r="A18" s="5" t="s">
        <v>21</v>
      </c>
      <c r="B18" s="10" t="s">
        <v>22</v>
      </c>
    </row>
    <row r="19" customFormat="false" ht="15" hidden="false" customHeight="true" outlineLevel="0" collapsed="false">
      <c r="A19" s="5" t="s">
        <v>23</v>
      </c>
      <c r="B19" s="10" t="s">
        <v>24</v>
      </c>
    </row>
    <row r="20" customFormat="false" ht="15" hidden="false" customHeight="true" outlineLevel="0" collapsed="false">
      <c r="A20" s="5" t="s">
        <v>25</v>
      </c>
      <c r="B20" s="10" t="s">
        <v>26</v>
      </c>
    </row>
    <row r="21" customFormat="false" ht="15" hidden="false" customHeight="true" outlineLevel="0" collapsed="false">
      <c r="A21" s="5" t="s">
        <v>27</v>
      </c>
      <c r="B21" s="10" t="s">
        <v>28</v>
      </c>
    </row>
    <row r="22" customFormat="false" ht="15" hidden="false" customHeight="true" outlineLevel="0" collapsed="false">
      <c r="A22" s="5" t="s">
        <v>29</v>
      </c>
      <c r="B22" s="10" t="s">
        <v>30</v>
      </c>
    </row>
    <row r="23" customFormat="false" ht="15" hidden="false" customHeight="true" outlineLevel="0" collapsed="false">
      <c r="A23" s="5" t="s">
        <v>31</v>
      </c>
      <c r="B23" s="10" t="s">
        <v>32</v>
      </c>
    </row>
    <row r="24" customFormat="false" ht="15" hidden="false" customHeight="true" outlineLevel="0" collapsed="false">
      <c r="A24" s="5" t="s">
        <v>33</v>
      </c>
      <c r="B24" s="11" t="n">
        <v>70</v>
      </c>
      <c r="C24" s="7" t="s">
        <v>34</v>
      </c>
    </row>
    <row r="25" customFormat="false" ht="15" hidden="false" customHeight="true" outlineLevel="0" collapsed="false">
      <c r="A25" s="5" t="s">
        <v>35</v>
      </c>
      <c r="B25" s="11" t="n">
        <f aca="false">B24*B11</f>
        <v>7</v>
      </c>
    </row>
    <row r="27" customFormat="false" ht="19.5" hidden="false" customHeight="true" outlineLevel="0" collapsed="false">
      <c r="A27" s="12" t="s">
        <v>36</v>
      </c>
      <c r="B27" s="12"/>
      <c r="C27" s="12"/>
    </row>
    <row r="28" customFormat="false" ht="15" hidden="false" customHeight="true" outlineLevel="0" collapsed="false">
      <c r="A28" s="5" t="s">
        <v>37</v>
      </c>
      <c r="B28" s="8" t="s">
        <v>38</v>
      </c>
      <c r="C28" s="7" t="s">
        <v>39</v>
      </c>
    </row>
    <row r="29" customFormat="false" ht="15" hidden="false" customHeight="true" outlineLevel="0" collapsed="false">
      <c r="A29" s="5" t="s">
        <v>40</v>
      </c>
      <c r="B29" s="8" t="s">
        <v>41</v>
      </c>
      <c r="C29" s="7" t="s">
        <v>42</v>
      </c>
    </row>
    <row r="30" customFormat="false" ht="15" hidden="false" customHeight="true" outlineLevel="0" collapsed="false">
      <c r="A30" s="5" t="s">
        <v>43</v>
      </c>
      <c r="B30" s="13" t="n">
        <f aca="false">B13</f>
        <v>50</v>
      </c>
      <c r="C30" s="7" t="s">
        <v>44</v>
      </c>
    </row>
    <row r="31" customFormat="false" ht="15" hidden="false" customHeight="true" outlineLevel="0" collapsed="false">
      <c r="A31" s="5" t="s">
        <v>45</v>
      </c>
      <c r="B31" s="8" t="s">
        <v>46</v>
      </c>
      <c r="C31" s="7" t="s">
        <v>47</v>
      </c>
    </row>
    <row r="32" customFormat="false" ht="15" hidden="false" customHeight="true" outlineLevel="0" collapsed="false">
      <c r="A32" s="5" t="s">
        <v>48</v>
      </c>
      <c r="B32" s="14" t="n">
        <v>0</v>
      </c>
      <c r="C32" s="7" t="s">
        <v>49</v>
      </c>
    </row>
    <row r="34" customFormat="false" ht="19.5" hidden="false" customHeight="true" outlineLevel="0" collapsed="false">
      <c r="A34" s="12" t="s">
        <v>50</v>
      </c>
      <c r="B34" s="12"/>
      <c r="C34" s="12"/>
    </row>
    <row r="35" customFormat="false" ht="15" hidden="false" customHeight="true" outlineLevel="0" collapsed="false">
      <c r="A35" s="5" t="s">
        <v>51</v>
      </c>
      <c r="B35" s="11" t="n">
        <f aca="false">B24</f>
        <v>70</v>
      </c>
      <c r="C35" s="7" t="s">
        <v>52</v>
      </c>
    </row>
    <row r="36" customFormat="false" ht="15" hidden="false" customHeight="true" outlineLevel="0" collapsed="false">
      <c r="A36" s="5" t="s">
        <v>53</v>
      </c>
      <c r="B36" s="11" t="n">
        <f aca="false">B35*B11</f>
        <v>7</v>
      </c>
      <c r="C36" s="7" t="s">
        <v>54</v>
      </c>
    </row>
    <row r="37" customFormat="false" ht="15" hidden="false" customHeight="true" outlineLevel="0" collapsed="false">
      <c r="A37" s="5" t="s">
        <v>55</v>
      </c>
      <c r="B37" s="11" t="n">
        <f aca="false">B36*3</f>
        <v>21</v>
      </c>
      <c r="C37" s="7" t="s">
        <v>56</v>
      </c>
    </row>
    <row r="38" customFormat="false" ht="15" hidden="false" customHeight="true" outlineLevel="0" collapsed="false">
      <c r="A38" s="5" t="s">
        <v>57</v>
      </c>
      <c r="B38" s="11" t="n">
        <f aca="false">B37*(1+B32)</f>
        <v>21</v>
      </c>
      <c r="C38" s="7" t="s">
        <v>58</v>
      </c>
    </row>
    <row r="39" customFormat="false" ht="15" hidden="false" customHeight="true" outlineLevel="0" collapsed="false">
      <c r="A39" s="5" t="s">
        <v>59</v>
      </c>
      <c r="B39" s="15" t="n">
        <f aca="false">B11*(1+B32)</f>
        <v>0.1</v>
      </c>
      <c r="C39" s="7" t="s">
        <v>60</v>
      </c>
    </row>
    <row r="41" customFormat="false" ht="21.75" hidden="false" customHeight="true" outlineLevel="0" collapsed="false">
      <c r="A41" s="16" t="s">
        <v>61</v>
      </c>
      <c r="B41" s="16"/>
      <c r="C41" s="16"/>
    </row>
    <row r="42" customFormat="false" ht="15" hidden="false" customHeight="true" outlineLevel="0" collapsed="false">
      <c r="A42" s="7" t="s">
        <v>62</v>
      </c>
    </row>
  </sheetData>
  <mergeCells count="6">
    <mergeCell ref="A1:F1"/>
    <mergeCell ref="A2:F2"/>
    <mergeCell ref="A8:F8"/>
    <mergeCell ref="A27:C27"/>
    <mergeCell ref="A34:C34"/>
    <mergeCell ref="A41:C41"/>
  </mergeCells>
  <printOptions headings="false" gridLines="false" gridLinesSet="true" horizontalCentered="false" verticalCentered="false"/>
  <pageMargins left="0.75" right="0.75" top="1" bottom="1" header="0.511811023622047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&amp;LHelix King Labs · internal&amp;RPage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5" min="4" style="1" width="28"/>
    <col collapsed="false" customWidth="true" hidden="false" outlineLevel="0" max="7" min="6" style="1" width="14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3" min="12" style="1" width="12"/>
    <col collapsed="false" customWidth="true" hidden="false" outlineLevel="0" max="14" min="14" style="1" width="40"/>
  </cols>
  <sheetData>
    <row r="1" customFormat="false" ht="21.7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7.75" hidden="false" customHeight="true" outlineLevel="0" collapsed="false">
      <c r="A4" s="17" t="s">
        <v>65</v>
      </c>
      <c r="B4" s="17" t="s">
        <v>66</v>
      </c>
      <c r="C4" s="17" t="s">
        <v>67</v>
      </c>
      <c r="D4" s="17" t="s">
        <v>68</v>
      </c>
      <c r="E4" s="17" t="s">
        <v>69</v>
      </c>
      <c r="F4" s="17" t="s">
        <v>70</v>
      </c>
      <c r="G4" s="17" t="s">
        <v>71</v>
      </c>
      <c r="H4" s="17" t="s">
        <v>72</v>
      </c>
      <c r="I4" s="17" t="s">
        <v>73</v>
      </c>
      <c r="J4" s="17" t="s">
        <v>74</v>
      </c>
      <c r="K4" s="17" t="s">
        <v>75</v>
      </c>
      <c r="L4" s="17" t="s">
        <v>76</v>
      </c>
      <c r="M4" s="17" t="s">
        <v>77</v>
      </c>
      <c r="N4" s="17" t="s">
        <v>78</v>
      </c>
    </row>
    <row r="5" customFormat="false" ht="15" hidden="false" customHeight="true" outlineLevel="0" collapsed="false">
      <c r="A5" s="18" t="str">
        <f aca="false">Rules!$B$14&amp;"-HOUSE"</f>
        <v>HK-HOUSE</v>
      </c>
      <c r="B5" s="18" t="s">
        <v>79</v>
      </c>
      <c r="C5" s="18" t="s">
        <v>80</v>
      </c>
      <c r="D5" s="18" t="s">
        <v>81</v>
      </c>
      <c r="E5" s="18" t="s">
        <v>18</v>
      </c>
      <c r="F5" s="18" t="s">
        <v>82</v>
      </c>
      <c r="G5" s="18" t="s">
        <v>83</v>
      </c>
      <c r="H5" s="19" t="n">
        <v>0</v>
      </c>
      <c r="I5" s="20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18" t="s">
        <v>84</v>
      </c>
    </row>
    <row r="6" customFormat="false" ht="15" hidden="false" customHeight="true" outlineLevel="0" collapsed="false">
      <c r="A6" s="22" t="str">
        <f aca="false">IF(B6="","",Rules!$B$14&amp;"-"&amp;UPPER(LEFT(SUBSTITUTE(B6," ","-"),12)))</f>
        <v/>
      </c>
      <c r="B6" s="23"/>
      <c r="C6" s="23"/>
      <c r="D6" s="23"/>
      <c r="E6" s="23" t="s">
        <v>18</v>
      </c>
      <c r="F6" s="23" t="s">
        <v>85</v>
      </c>
      <c r="G6" s="23"/>
      <c r="H6" s="24"/>
      <c r="I6" s="25"/>
      <c r="J6" s="26"/>
      <c r="K6" s="27" t="str">
        <f aca="false">IF(J6="","",ROUND(J6*IF(H6="",Rules!$B$11,H6),2))</f>
        <v/>
      </c>
      <c r="L6" s="26" t="n">
        <v>0</v>
      </c>
      <c r="M6" s="27" t="str">
        <f aca="false">IF(K6="","",K6-IF(L6="",0,L6))</f>
        <v/>
      </c>
      <c r="N6" s="23"/>
    </row>
    <row r="7" customFormat="false" ht="15" hidden="false" customHeight="true" outlineLevel="0" collapsed="false">
      <c r="A7" s="22" t="str">
        <f aca="false">IF(B7="","",Rules!$B$14&amp;"-"&amp;UPPER(LEFT(SUBSTITUTE(B7," ","-"),12)))</f>
        <v/>
      </c>
      <c r="B7" s="23"/>
      <c r="C7" s="23"/>
      <c r="D7" s="23"/>
      <c r="E7" s="23" t="s">
        <v>18</v>
      </c>
      <c r="F7" s="23" t="s">
        <v>85</v>
      </c>
      <c r="G7" s="23"/>
      <c r="H7" s="24"/>
      <c r="I7" s="25"/>
      <c r="J7" s="26"/>
      <c r="K7" s="27" t="str">
        <f aca="false">IF(J7="","",ROUND(J7*IF(H7="",Rules!$B$11,H7),2))</f>
        <v/>
      </c>
      <c r="L7" s="26" t="n">
        <v>0</v>
      </c>
      <c r="M7" s="27" t="str">
        <f aca="false">IF(K7="","",K7-IF(L7="",0,L7))</f>
        <v/>
      </c>
      <c r="N7" s="23"/>
    </row>
    <row r="8" customFormat="false" ht="15" hidden="false" customHeight="true" outlineLevel="0" collapsed="false">
      <c r="A8" s="22" t="str">
        <f aca="false">IF(B8="","",Rules!$B$14&amp;"-"&amp;UPPER(LEFT(SUBSTITUTE(B8," ","-"),12)))</f>
        <v/>
      </c>
      <c r="B8" s="23"/>
      <c r="C8" s="23"/>
      <c r="D8" s="23"/>
      <c r="E8" s="23" t="s">
        <v>18</v>
      </c>
      <c r="F8" s="23" t="s">
        <v>85</v>
      </c>
      <c r="G8" s="23"/>
      <c r="H8" s="24"/>
      <c r="I8" s="25"/>
      <c r="J8" s="26"/>
      <c r="K8" s="27" t="str">
        <f aca="false">IF(J8="","",ROUND(J8*IF(H8="",Rules!$B$11,H8),2))</f>
        <v/>
      </c>
      <c r="L8" s="26" t="n">
        <v>0</v>
      </c>
      <c r="M8" s="27" t="str">
        <f aca="false">IF(K8="","",K8-IF(L8="",0,L8))</f>
        <v/>
      </c>
      <c r="N8" s="23"/>
    </row>
    <row r="9" customFormat="false" ht="15" hidden="false" customHeight="true" outlineLevel="0" collapsed="false">
      <c r="A9" s="22" t="str">
        <f aca="false">IF(B9="","",Rules!$B$14&amp;"-"&amp;UPPER(LEFT(SUBSTITUTE(B9," ","-"),12)))</f>
        <v/>
      </c>
      <c r="B9" s="23"/>
      <c r="C9" s="23"/>
      <c r="D9" s="23"/>
      <c r="E9" s="23" t="s">
        <v>18</v>
      </c>
      <c r="F9" s="23" t="s">
        <v>85</v>
      </c>
      <c r="G9" s="23"/>
      <c r="H9" s="24"/>
      <c r="I9" s="25"/>
      <c r="J9" s="26"/>
      <c r="K9" s="27" t="str">
        <f aca="false">IF(J9="","",ROUND(J9*IF(H9="",Rules!$B$11,H9),2))</f>
        <v/>
      </c>
      <c r="L9" s="26" t="n">
        <v>0</v>
      </c>
      <c r="M9" s="27" t="str">
        <f aca="false">IF(K9="","",K9-IF(L9="",0,L9))</f>
        <v/>
      </c>
      <c r="N9" s="23"/>
    </row>
    <row r="10" customFormat="false" ht="15" hidden="false" customHeight="true" outlineLevel="0" collapsed="false">
      <c r="A10" s="22" t="str">
        <f aca="false">IF(B10="","",Rules!$B$14&amp;"-"&amp;UPPER(LEFT(SUBSTITUTE(B10," ","-"),12)))</f>
        <v/>
      </c>
      <c r="B10" s="23"/>
      <c r="C10" s="23"/>
      <c r="D10" s="23"/>
      <c r="E10" s="23" t="s">
        <v>18</v>
      </c>
      <c r="F10" s="23" t="s">
        <v>85</v>
      </c>
      <c r="G10" s="23"/>
      <c r="H10" s="24"/>
      <c r="I10" s="25"/>
      <c r="J10" s="26"/>
      <c r="K10" s="27" t="str">
        <f aca="false">IF(J10="","",ROUND(J10*IF(H10="",Rules!$B$11,H10),2))</f>
        <v/>
      </c>
      <c r="L10" s="26" t="n">
        <v>0</v>
      </c>
      <c r="M10" s="27" t="str">
        <f aca="false">IF(K10="","",K10-IF(L10="",0,L10))</f>
        <v/>
      </c>
      <c r="N10" s="23"/>
    </row>
    <row r="11" customFormat="false" ht="15" hidden="false" customHeight="true" outlineLevel="0" collapsed="false">
      <c r="A11" s="22" t="str">
        <f aca="false">IF(B11="","",Rules!$B$14&amp;"-"&amp;UPPER(LEFT(SUBSTITUTE(B11," ","-"),12)))</f>
        <v/>
      </c>
      <c r="B11" s="23"/>
      <c r="C11" s="23"/>
      <c r="D11" s="23"/>
      <c r="E11" s="23" t="s">
        <v>18</v>
      </c>
      <c r="F11" s="23" t="s">
        <v>85</v>
      </c>
      <c r="G11" s="23"/>
      <c r="H11" s="24"/>
      <c r="I11" s="25"/>
      <c r="J11" s="26"/>
      <c r="K11" s="27" t="str">
        <f aca="false">IF(J11="","",ROUND(J11*IF(H11="",Rules!$B$11,H11),2))</f>
        <v/>
      </c>
      <c r="L11" s="26" t="n">
        <v>0</v>
      </c>
      <c r="M11" s="27" t="str">
        <f aca="false">IF(K11="","",K11-IF(L11="",0,L11))</f>
        <v/>
      </c>
      <c r="N11" s="23"/>
    </row>
    <row r="12" customFormat="false" ht="15" hidden="false" customHeight="true" outlineLevel="0" collapsed="false">
      <c r="A12" s="22" t="str">
        <f aca="false">IF(B12="","",Rules!$B$14&amp;"-"&amp;UPPER(LEFT(SUBSTITUTE(B12," ","-"),12)))</f>
        <v/>
      </c>
      <c r="B12" s="23"/>
      <c r="C12" s="23"/>
      <c r="D12" s="23"/>
      <c r="E12" s="23" t="s">
        <v>18</v>
      </c>
      <c r="F12" s="23" t="s">
        <v>85</v>
      </c>
      <c r="G12" s="23"/>
      <c r="H12" s="24"/>
      <c r="I12" s="25"/>
      <c r="J12" s="26"/>
      <c r="K12" s="27" t="str">
        <f aca="false">IF(J12="","",ROUND(J12*IF(H12="",Rules!$B$11,H12),2))</f>
        <v/>
      </c>
      <c r="L12" s="26" t="n">
        <v>0</v>
      </c>
      <c r="M12" s="27" t="str">
        <f aca="false">IF(K12="","",K12-IF(L12="",0,L12))</f>
        <v/>
      </c>
      <c r="N12" s="23"/>
    </row>
    <row r="13" customFormat="false" ht="15" hidden="false" customHeight="true" outlineLevel="0" collapsed="false">
      <c r="A13" s="22" t="str">
        <f aca="false">IF(B13="","",Rules!$B$14&amp;"-"&amp;UPPER(LEFT(SUBSTITUTE(B13," ","-"),12)))</f>
        <v/>
      </c>
      <c r="B13" s="23"/>
      <c r="C13" s="23"/>
      <c r="D13" s="23"/>
      <c r="E13" s="23" t="s">
        <v>18</v>
      </c>
      <c r="F13" s="23" t="s">
        <v>85</v>
      </c>
      <c r="G13" s="23"/>
      <c r="H13" s="24"/>
      <c r="I13" s="25"/>
      <c r="J13" s="26"/>
      <c r="K13" s="27" t="str">
        <f aca="false">IF(J13="","",ROUND(J13*IF(H13="",Rules!$B$11,H13),2))</f>
        <v/>
      </c>
      <c r="L13" s="26" t="n">
        <v>0</v>
      </c>
      <c r="M13" s="27" t="str">
        <f aca="false">IF(K13="","",K13-IF(L13="",0,L13))</f>
        <v/>
      </c>
      <c r="N13" s="23"/>
    </row>
    <row r="14" customFormat="false" ht="15" hidden="false" customHeight="true" outlineLevel="0" collapsed="false">
      <c r="A14" s="22" t="str">
        <f aca="false">IF(B14="","",Rules!$B$14&amp;"-"&amp;UPPER(LEFT(SUBSTITUTE(B14," ","-"),12)))</f>
        <v/>
      </c>
      <c r="B14" s="23"/>
      <c r="C14" s="23"/>
      <c r="D14" s="23"/>
      <c r="E14" s="23" t="s">
        <v>18</v>
      </c>
      <c r="F14" s="23" t="s">
        <v>85</v>
      </c>
      <c r="G14" s="23"/>
      <c r="H14" s="24"/>
      <c r="I14" s="25"/>
      <c r="J14" s="26"/>
      <c r="K14" s="27" t="str">
        <f aca="false">IF(J14="","",ROUND(J14*IF(H14="",Rules!$B$11,H14),2))</f>
        <v/>
      </c>
      <c r="L14" s="26" t="n">
        <v>0</v>
      </c>
      <c r="M14" s="27" t="str">
        <f aca="false">IF(K14="","",K14-IF(L14="",0,L14))</f>
        <v/>
      </c>
      <c r="N14" s="23"/>
    </row>
    <row r="15" customFormat="false" ht="15" hidden="false" customHeight="true" outlineLevel="0" collapsed="false">
      <c r="A15" s="22" t="str">
        <f aca="false">IF(B15="","",Rules!$B$14&amp;"-"&amp;UPPER(LEFT(SUBSTITUTE(B15," ","-"),12)))</f>
        <v/>
      </c>
      <c r="B15" s="23"/>
      <c r="C15" s="23"/>
      <c r="D15" s="23"/>
      <c r="E15" s="23" t="s">
        <v>18</v>
      </c>
      <c r="F15" s="23" t="s">
        <v>85</v>
      </c>
      <c r="G15" s="23"/>
      <c r="H15" s="24"/>
      <c r="I15" s="25"/>
      <c r="J15" s="26"/>
      <c r="K15" s="27" t="str">
        <f aca="false">IF(J15="","",ROUND(J15*IF(H15="",Rules!$B$11,H15),2))</f>
        <v/>
      </c>
      <c r="L15" s="26" t="n">
        <v>0</v>
      </c>
      <c r="M15" s="27" t="str">
        <f aca="false">IF(K15="","",K15-IF(L15="",0,L15))</f>
        <v/>
      </c>
      <c r="N15" s="23"/>
    </row>
    <row r="16" customFormat="false" ht="15" hidden="false" customHeight="true" outlineLevel="0" collapsed="false">
      <c r="A16" s="22" t="str">
        <f aca="false">IF(B16="","",Rules!$B$14&amp;"-"&amp;UPPER(LEFT(SUBSTITUTE(B16," ","-"),12)))</f>
        <v/>
      </c>
      <c r="B16" s="23"/>
      <c r="C16" s="23"/>
      <c r="D16" s="23"/>
      <c r="E16" s="23" t="s">
        <v>18</v>
      </c>
      <c r="F16" s="23" t="s">
        <v>85</v>
      </c>
      <c r="G16" s="23"/>
      <c r="H16" s="24"/>
      <c r="I16" s="25"/>
      <c r="J16" s="26"/>
      <c r="K16" s="27" t="str">
        <f aca="false">IF(J16="","",ROUND(J16*IF(H16="",Rules!$B$11,H16),2))</f>
        <v/>
      </c>
      <c r="L16" s="26" t="n">
        <v>0</v>
      </c>
      <c r="M16" s="27" t="str">
        <f aca="false">IF(K16="","",K16-IF(L16="",0,L16))</f>
        <v/>
      </c>
      <c r="N16" s="23"/>
    </row>
    <row r="17" customFormat="false" ht="15" hidden="false" customHeight="true" outlineLevel="0" collapsed="false">
      <c r="A17" s="22" t="str">
        <f aca="false">IF(B17="","",Rules!$B$14&amp;"-"&amp;UPPER(LEFT(SUBSTITUTE(B17," ","-"),12)))</f>
        <v/>
      </c>
      <c r="B17" s="23"/>
      <c r="C17" s="23"/>
      <c r="D17" s="23"/>
      <c r="E17" s="23" t="s">
        <v>18</v>
      </c>
      <c r="F17" s="23" t="s">
        <v>85</v>
      </c>
      <c r="G17" s="23"/>
      <c r="H17" s="24"/>
      <c r="I17" s="25"/>
      <c r="J17" s="26"/>
      <c r="K17" s="27" t="str">
        <f aca="false">IF(J17="","",ROUND(J17*IF(H17="",Rules!$B$11,H17),2))</f>
        <v/>
      </c>
      <c r="L17" s="26" t="n">
        <v>0</v>
      </c>
      <c r="M17" s="27" t="str">
        <f aca="false">IF(K17="","",K17-IF(L17="",0,L17))</f>
        <v/>
      </c>
      <c r="N17" s="23"/>
    </row>
    <row r="18" customFormat="false" ht="15" hidden="false" customHeight="true" outlineLevel="0" collapsed="false">
      <c r="A18" s="22" t="str">
        <f aca="false">IF(B18="","",Rules!$B$14&amp;"-"&amp;UPPER(LEFT(SUBSTITUTE(B18," ","-"),12)))</f>
        <v/>
      </c>
      <c r="B18" s="23"/>
      <c r="C18" s="23"/>
      <c r="D18" s="23"/>
      <c r="E18" s="23" t="s">
        <v>18</v>
      </c>
      <c r="F18" s="23" t="s">
        <v>85</v>
      </c>
      <c r="G18" s="23"/>
      <c r="H18" s="24"/>
      <c r="I18" s="25"/>
      <c r="J18" s="26"/>
      <c r="K18" s="27" t="str">
        <f aca="false">IF(J18="","",ROUND(J18*IF(H18="",Rules!$B$11,H18),2))</f>
        <v/>
      </c>
      <c r="L18" s="26" t="n">
        <v>0</v>
      </c>
      <c r="M18" s="27" t="str">
        <f aca="false">IF(K18="","",K18-IF(L18="",0,L18))</f>
        <v/>
      </c>
      <c r="N18" s="23"/>
    </row>
    <row r="19" customFormat="false" ht="15" hidden="false" customHeight="true" outlineLevel="0" collapsed="false">
      <c r="A19" s="22" t="str">
        <f aca="false">IF(B19="","",Rules!$B$14&amp;"-"&amp;UPPER(LEFT(SUBSTITUTE(B19," ","-"),12)))</f>
        <v/>
      </c>
      <c r="B19" s="23"/>
      <c r="C19" s="23"/>
      <c r="D19" s="23"/>
      <c r="E19" s="23" t="s">
        <v>18</v>
      </c>
      <c r="F19" s="23" t="s">
        <v>85</v>
      </c>
      <c r="G19" s="23"/>
      <c r="H19" s="24"/>
      <c r="I19" s="25"/>
      <c r="J19" s="26"/>
      <c r="K19" s="27" t="str">
        <f aca="false">IF(J19="","",ROUND(J19*IF(H19="",Rules!$B$11,H19),2))</f>
        <v/>
      </c>
      <c r="L19" s="26" t="n">
        <v>0</v>
      </c>
      <c r="M19" s="27" t="str">
        <f aca="false">IF(K19="","",K19-IF(L19="",0,L19))</f>
        <v/>
      </c>
      <c r="N19" s="23"/>
    </row>
    <row r="20" customFormat="false" ht="15" hidden="false" customHeight="true" outlineLevel="0" collapsed="false">
      <c r="A20" s="22" t="str">
        <f aca="false">IF(B20="","",Rules!$B$14&amp;"-"&amp;UPPER(LEFT(SUBSTITUTE(B20," ","-"),12)))</f>
        <v/>
      </c>
      <c r="B20" s="23"/>
      <c r="C20" s="23"/>
      <c r="D20" s="23"/>
      <c r="E20" s="23" t="s">
        <v>18</v>
      </c>
      <c r="F20" s="23" t="s">
        <v>85</v>
      </c>
      <c r="G20" s="23"/>
      <c r="H20" s="24"/>
      <c r="I20" s="25"/>
      <c r="J20" s="26"/>
      <c r="K20" s="27" t="str">
        <f aca="false">IF(J20="","",ROUND(J20*IF(H20="",Rules!$B$11,H20),2))</f>
        <v/>
      </c>
      <c r="L20" s="26" t="n">
        <v>0</v>
      </c>
      <c r="M20" s="27" t="str">
        <f aca="false">IF(K20="","",K20-IF(L20="",0,L20))</f>
        <v/>
      </c>
      <c r="N20" s="23"/>
    </row>
    <row r="21" customFormat="false" ht="15" hidden="false" customHeight="true" outlineLevel="0" collapsed="false">
      <c r="A21" s="22" t="str">
        <f aca="false">IF(B21="","",Rules!$B$14&amp;"-"&amp;UPPER(LEFT(SUBSTITUTE(B21," ","-"),12)))</f>
        <v/>
      </c>
      <c r="B21" s="23"/>
      <c r="C21" s="23"/>
      <c r="D21" s="23"/>
      <c r="E21" s="23" t="s">
        <v>18</v>
      </c>
      <c r="F21" s="23" t="s">
        <v>85</v>
      </c>
      <c r="G21" s="23"/>
      <c r="H21" s="24"/>
      <c r="I21" s="25"/>
      <c r="J21" s="26"/>
      <c r="K21" s="27" t="str">
        <f aca="false">IF(J21="","",ROUND(J21*IF(H21="",Rules!$B$11,H21),2))</f>
        <v/>
      </c>
      <c r="L21" s="26" t="n">
        <v>0</v>
      </c>
      <c r="M21" s="27" t="str">
        <f aca="false">IF(K21="","",K21-IF(L21="",0,L21))</f>
        <v/>
      </c>
      <c r="N21" s="23"/>
    </row>
    <row r="22" customFormat="false" ht="15" hidden="false" customHeight="true" outlineLevel="0" collapsed="false">
      <c r="A22" s="22" t="str">
        <f aca="false">IF(B22="","",Rules!$B$14&amp;"-"&amp;UPPER(LEFT(SUBSTITUTE(B22," ","-"),12)))</f>
        <v/>
      </c>
      <c r="B22" s="23"/>
      <c r="C22" s="23"/>
      <c r="D22" s="23"/>
      <c r="E22" s="23" t="s">
        <v>18</v>
      </c>
      <c r="F22" s="23" t="s">
        <v>85</v>
      </c>
      <c r="G22" s="23"/>
      <c r="H22" s="24"/>
      <c r="I22" s="25"/>
      <c r="J22" s="26"/>
      <c r="K22" s="27" t="str">
        <f aca="false">IF(J22="","",ROUND(J22*IF(H22="",Rules!$B$11,H22),2))</f>
        <v/>
      </c>
      <c r="L22" s="26" t="n">
        <v>0</v>
      </c>
      <c r="M22" s="27" t="str">
        <f aca="false">IF(K22="","",K22-IF(L22="",0,L22))</f>
        <v/>
      </c>
      <c r="N22" s="23"/>
    </row>
    <row r="23" customFormat="false" ht="15" hidden="false" customHeight="true" outlineLevel="0" collapsed="false">
      <c r="A23" s="22" t="str">
        <f aca="false">IF(B23="","",Rules!$B$14&amp;"-"&amp;UPPER(LEFT(SUBSTITUTE(B23," ","-"),12)))</f>
        <v/>
      </c>
      <c r="B23" s="23"/>
      <c r="C23" s="23"/>
      <c r="D23" s="23"/>
      <c r="E23" s="23" t="s">
        <v>18</v>
      </c>
      <c r="F23" s="23" t="s">
        <v>85</v>
      </c>
      <c r="G23" s="23"/>
      <c r="H23" s="24"/>
      <c r="I23" s="25"/>
      <c r="J23" s="26"/>
      <c r="K23" s="27" t="str">
        <f aca="false">IF(J23="","",ROUND(J23*IF(H23="",Rules!$B$11,H23),2))</f>
        <v/>
      </c>
      <c r="L23" s="26" t="n">
        <v>0</v>
      </c>
      <c r="M23" s="27" t="str">
        <f aca="false">IF(K23="","",K23-IF(L23="",0,L23))</f>
        <v/>
      </c>
      <c r="N23" s="23"/>
    </row>
    <row r="24" customFormat="false" ht="15" hidden="false" customHeight="true" outlineLevel="0" collapsed="false">
      <c r="A24" s="22" t="str">
        <f aca="false">IF(B24="","",Rules!$B$14&amp;"-"&amp;UPPER(LEFT(SUBSTITUTE(B24," ","-"),12)))</f>
        <v/>
      </c>
      <c r="B24" s="23"/>
      <c r="C24" s="23"/>
      <c r="D24" s="23"/>
      <c r="E24" s="23" t="s">
        <v>18</v>
      </c>
      <c r="F24" s="23" t="s">
        <v>85</v>
      </c>
      <c r="G24" s="23"/>
      <c r="H24" s="24"/>
      <c r="I24" s="25"/>
      <c r="J24" s="26"/>
      <c r="K24" s="27" t="str">
        <f aca="false">IF(J24="","",ROUND(J24*IF(H24="",Rules!$B$11,H24),2))</f>
        <v/>
      </c>
      <c r="L24" s="26" t="n">
        <v>0</v>
      </c>
      <c r="M24" s="27" t="str">
        <f aca="false">IF(K24="","",K24-IF(L24="",0,L24))</f>
        <v/>
      </c>
      <c r="N24" s="23"/>
    </row>
    <row r="26" customFormat="false" ht="15.75" hidden="false" customHeight="true" outlineLevel="0" collapsed="false">
      <c r="A26" s="4" t="s">
        <v>86</v>
      </c>
      <c r="I26" s="28" t="n">
        <f aca="false">SUM(I6:I24)</f>
        <v>0</v>
      </c>
      <c r="J26" s="29" t="n">
        <f aca="false">SUM(J6:J24)</f>
        <v>0</v>
      </c>
      <c r="K26" s="29" t="n">
        <f aca="false">SUM(K6:K24)</f>
        <v>0</v>
      </c>
      <c r="L26" s="29" t="n">
        <f aca="false">SUM(L6:L24)</f>
        <v>0</v>
      </c>
      <c r="M26" s="29" t="n">
        <f aca="false">SUM(M6:M24)</f>
        <v>0</v>
      </c>
    </row>
    <row r="28" customFormat="false" ht="15" hidden="false" customHeight="true" outlineLevel="0" collapsed="false">
      <c r="A28" s="30" t="s">
        <v>87</v>
      </c>
      <c r="B28" s="31" t="n">
        <f aca="false">COUNTA(B6:B24)</f>
        <v>0</v>
      </c>
    </row>
    <row r="29" customFormat="false" ht="15" hidden="false" customHeight="true" outlineLevel="0" collapsed="false">
      <c r="A29" s="30" t="s">
        <v>88</v>
      </c>
      <c r="B29" s="31" t="n">
        <f aca="false">COUNTIF(F6:F24,"active")</f>
        <v>0</v>
      </c>
    </row>
    <row r="30" customFormat="false" ht="15" hidden="false" customHeight="true" outlineLevel="0" collapsed="false">
      <c r="A30" s="30" t="s">
        <v>89</v>
      </c>
      <c r="B30" s="31" t="n">
        <f aca="false">COUNTIF(E6:E24,"Yes")</f>
        <v>0</v>
      </c>
    </row>
    <row r="31" customFormat="false" ht="15" hidden="false" customHeight="true" outlineLevel="0" collapsed="false">
      <c r="A31" s="30" t="s">
        <v>90</v>
      </c>
      <c r="B31" s="31" t="n">
        <f aca="false">COUNTIFS(M6:M24,"&gt;="&amp;Rules!$B$13,F6:F24,"active")</f>
        <v>0</v>
      </c>
    </row>
  </sheetData>
  <autoFilter ref="A4:N54"/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F5:F24" type="list">
      <formula1>"prospect,invited,active,paused,house,do-not-use"</formula1>
      <formula2>0</formula2>
    </dataValidation>
    <dataValidation allowBlank="true" errorStyle="stop" operator="between" showDropDown="false" showErrorMessage="false" showInputMessage="false" sqref="E5:E24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&amp;LHelix King Labs · internal&amp;RPage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9AE"/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36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91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7" t="s">
        <v>93</v>
      </c>
      <c r="B4" s="17" t="s">
        <v>66</v>
      </c>
      <c r="C4" s="17" t="s">
        <v>94</v>
      </c>
      <c r="D4" s="17" t="s">
        <v>95</v>
      </c>
      <c r="E4" s="17" t="s">
        <v>96</v>
      </c>
      <c r="F4" s="17" t="s">
        <v>97</v>
      </c>
    </row>
    <row r="5" customFormat="false" ht="15" hidden="false" customHeight="true" outlineLevel="0" collapsed="false">
      <c r="A5" s="32" t="n">
        <v>1</v>
      </c>
      <c r="B5" s="8"/>
      <c r="C5" s="8"/>
      <c r="D5" s="8"/>
      <c r="E5" s="8"/>
      <c r="F5" s="8"/>
    </row>
    <row r="6" customFormat="false" ht="15" hidden="false" customHeight="true" outlineLevel="0" collapsed="false">
      <c r="A6" s="32" t="n">
        <v>2</v>
      </c>
      <c r="B6" s="8"/>
      <c r="C6" s="8"/>
      <c r="D6" s="8"/>
      <c r="E6" s="8"/>
      <c r="F6" s="8"/>
    </row>
    <row r="7" customFormat="false" ht="15" hidden="false" customHeight="true" outlineLevel="0" collapsed="false">
      <c r="A7" s="32" t="n">
        <v>3</v>
      </c>
      <c r="B7" s="8"/>
      <c r="C7" s="8"/>
      <c r="D7" s="8"/>
      <c r="E7" s="8"/>
      <c r="F7" s="8"/>
    </row>
    <row r="8" customFormat="false" ht="15" hidden="false" customHeight="true" outlineLevel="0" collapsed="false">
      <c r="A8" s="32" t="n">
        <v>4</v>
      </c>
      <c r="B8" s="8"/>
      <c r="C8" s="8"/>
      <c r="D8" s="8"/>
      <c r="E8" s="8"/>
      <c r="F8" s="8"/>
    </row>
    <row r="9" customFormat="false" ht="15" hidden="false" customHeight="true" outlineLevel="0" collapsed="false">
      <c r="A9" s="32" t="n">
        <v>5</v>
      </c>
      <c r="B9" s="8"/>
      <c r="C9" s="8"/>
      <c r="D9" s="8"/>
      <c r="E9" s="8"/>
      <c r="F9" s="8"/>
    </row>
    <row r="10" customFormat="false" ht="15" hidden="false" customHeight="true" outlineLevel="0" collapsed="false">
      <c r="A10" s="32" t="n">
        <v>6</v>
      </c>
      <c r="B10" s="8"/>
      <c r="C10" s="8"/>
      <c r="D10" s="8"/>
      <c r="E10" s="8"/>
      <c r="F10" s="8"/>
    </row>
    <row r="11" customFormat="false" ht="15" hidden="false" customHeight="true" outlineLevel="0" collapsed="false">
      <c r="A11" s="32" t="n">
        <v>7</v>
      </c>
      <c r="B11" s="8"/>
      <c r="C11" s="8"/>
      <c r="D11" s="8"/>
      <c r="E11" s="8"/>
      <c r="F11" s="8"/>
    </row>
    <row r="12" customFormat="false" ht="15" hidden="false" customHeight="true" outlineLevel="0" collapsed="false">
      <c r="A12" s="32" t="n">
        <v>8</v>
      </c>
      <c r="B12" s="8"/>
      <c r="C12" s="8"/>
      <c r="D12" s="8"/>
      <c r="E12" s="8"/>
      <c r="F12" s="8"/>
    </row>
    <row r="13" customFormat="false" ht="15" hidden="false" customHeight="true" outlineLevel="0" collapsed="false">
      <c r="A13" s="32" t="n">
        <v>9</v>
      </c>
      <c r="B13" s="8"/>
      <c r="C13" s="8"/>
      <c r="D13" s="8"/>
      <c r="E13" s="8"/>
      <c r="F13" s="8"/>
    </row>
    <row r="14" customFormat="false" ht="15" hidden="false" customHeight="true" outlineLevel="0" collapsed="false">
      <c r="A14" s="32" t="n">
        <v>10</v>
      </c>
      <c r="B14" s="8"/>
      <c r="C14" s="8"/>
      <c r="D14" s="8"/>
      <c r="E14" s="8"/>
      <c r="F14" s="8"/>
    </row>
    <row r="16" customFormat="false" ht="15" hidden="false" customHeight="true" outlineLevel="0" collapsed="false">
      <c r="A16" s="30" t="s">
        <v>98</v>
      </c>
      <c r="B16" s="31" t="n">
        <f aca="false">COUNTIF(F5:F14,"Yes")</f>
        <v>0</v>
      </c>
    </row>
    <row r="17" customFormat="false" ht="15" hidden="false" customHeight="true" outlineLevel="0" collapsed="false">
      <c r="A17" s="30" t="s">
        <v>99</v>
      </c>
      <c r="B17" s="31" t="n">
        <f aca="false">COUNTA(B5:B14)-B16</f>
        <v>0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14" type="list">
      <formula1>",Yes,No"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&amp;LHelix King Labs · internal&amp;RPage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48"/>
    <col collapsed="false" customWidth="true" hidden="false" outlineLevel="0" max="4" min="4" style="1" width="62"/>
  </cols>
  <sheetData>
    <row r="1" customFormat="false" ht="21.75" hidden="false" customHeight="true" outlineLevel="0" collapsed="false">
      <c r="A1" s="2" t="s">
        <v>100</v>
      </c>
      <c r="B1" s="2"/>
      <c r="C1" s="2"/>
      <c r="D1" s="2"/>
    </row>
    <row r="2" customFormat="false" ht="15" hidden="false" customHeight="true" outlineLevel="0" collapsed="false">
      <c r="A2" s="3" t="s">
        <v>101</v>
      </c>
      <c r="B2" s="3"/>
      <c r="C2" s="3"/>
      <c r="D2" s="3"/>
    </row>
    <row r="4" customFormat="false" ht="15" hidden="false" customHeight="true" outlineLevel="0" collapsed="false">
      <c r="A4" s="17" t="s">
        <v>21</v>
      </c>
      <c r="B4" s="17" t="s">
        <v>102</v>
      </c>
      <c r="C4" s="17" t="s">
        <v>103</v>
      </c>
      <c r="D4" s="17" t="s">
        <v>104</v>
      </c>
    </row>
    <row r="5" customFormat="false" ht="36" hidden="false" customHeight="true" outlineLevel="0" collapsed="false">
      <c r="A5" s="33" t="s">
        <v>22</v>
      </c>
      <c r="B5" s="33" t="s">
        <v>24</v>
      </c>
      <c r="C5" s="33" t="s">
        <v>105</v>
      </c>
      <c r="D5" s="33" t="s">
        <v>106</v>
      </c>
    </row>
    <row r="6" customFormat="false" ht="36" hidden="false" customHeight="true" outlineLevel="0" collapsed="false">
      <c r="A6" s="33" t="s">
        <v>107</v>
      </c>
      <c r="B6" s="33" t="s">
        <v>108</v>
      </c>
      <c r="C6" s="33" t="s">
        <v>109</v>
      </c>
      <c r="D6" s="33" t="s">
        <v>110</v>
      </c>
    </row>
    <row r="7" customFormat="false" ht="36" hidden="false" customHeight="true" outlineLevel="0" collapsed="false">
      <c r="A7" s="33" t="s">
        <v>111</v>
      </c>
      <c r="B7" s="33" t="s">
        <v>112</v>
      </c>
      <c r="C7" s="33" t="s">
        <v>109</v>
      </c>
      <c r="D7" s="33" t="s">
        <v>113</v>
      </c>
    </row>
    <row r="8" customFormat="false" ht="36" hidden="false" customHeight="true" outlineLevel="0" collapsed="false">
      <c r="A8" s="33" t="s">
        <v>114</v>
      </c>
      <c r="B8" s="33" t="s">
        <v>115</v>
      </c>
      <c r="C8" s="33" t="s">
        <v>116</v>
      </c>
      <c r="D8" s="33" t="s">
        <v>117</v>
      </c>
    </row>
    <row r="9" customFormat="false" ht="36" hidden="false" customHeight="true" outlineLevel="0" collapsed="false">
      <c r="A9" s="33" t="s">
        <v>118</v>
      </c>
      <c r="B9" s="33" t="s">
        <v>119</v>
      </c>
      <c r="C9" s="33" t="s">
        <v>120</v>
      </c>
      <c r="D9" s="33" t="s">
        <v>121</v>
      </c>
    </row>
    <row r="10" customFormat="false" ht="36" hidden="false" customHeight="true" outlineLevel="0" collapsed="false">
      <c r="A10" s="33" t="s">
        <v>122</v>
      </c>
      <c r="B10" s="33" t="s">
        <v>123</v>
      </c>
      <c r="C10" s="33" t="s">
        <v>120</v>
      </c>
      <c r="D10" s="33" t="s">
        <v>124</v>
      </c>
    </row>
    <row r="11" customFormat="false" ht="36" hidden="false" customHeight="true" outlineLevel="0" collapsed="false">
      <c r="A11" s="33" t="s">
        <v>125</v>
      </c>
      <c r="B11" s="33" t="s">
        <v>126</v>
      </c>
      <c r="C11" s="33" t="s">
        <v>127</v>
      </c>
      <c r="D11" s="33" t="s">
        <v>128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&amp;LHelix King Labs · internal&amp;RPage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2026-09-29T02:14:38Z</dcterms:created>
  <dc:creator>openpyxl</dc:creator>
  <dc:description/>
  <dc:language>en-US</dc:language>
  <cp:lastModifiedBy/>
  <dcterms:modified xsi:type="dcterms:W3CDTF">2026-09-29T02:24:52Z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